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bowiss\Alle\Projekte\Pfynwald\Pfynwald_KM\soil_data\"/>
    </mc:Choice>
  </mc:AlternateContent>
  <bookViews>
    <workbookView xWindow="-24" yWindow="-24" windowWidth="28704" windowHeight="20400" tabRatio="500"/>
  </bookViews>
  <sheets>
    <sheet name="Tabelle1" sheetId="1" r:id="rId1"/>
  </sheets>
  <definedNames>
    <definedName name="_xlnm.Print_Area" localSheetId="0">Tabelle1!$A$1:$K$41</definedName>
  </definedNames>
  <calcPr calcId="162913"/>
  <extLs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L16" i="1" l="1"/>
  <c r="K16" i="1"/>
  <c r="J15" i="1"/>
  <c r="L6" i="1"/>
  <c r="E6" i="1"/>
  <c r="K6" i="1" s="1"/>
  <c r="J6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5" i="1"/>
  <c r="L14" i="1"/>
  <c r="L13" i="1"/>
  <c r="L12" i="1"/>
  <c r="L11" i="1"/>
  <c r="L10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5" i="1"/>
  <c r="K14" i="1"/>
  <c r="K13" i="1"/>
  <c r="K12" i="1"/>
  <c r="K11" i="1"/>
  <c r="K10" i="1"/>
  <c r="K9" i="1"/>
  <c r="L9" i="1"/>
  <c r="L7" i="1"/>
  <c r="K7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4" i="1"/>
  <c r="J13" i="1"/>
  <c r="J12" i="1"/>
  <c r="J11" i="1"/>
  <c r="J10" i="1"/>
  <c r="J9" i="1"/>
  <c r="J7" i="1"/>
</calcChain>
</file>

<file path=xl/sharedStrings.xml><?xml version="1.0" encoding="utf-8"?>
<sst xmlns="http://schemas.openxmlformats.org/spreadsheetml/2006/main" count="123" uniqueCount="41">
  <si>
    <t xml:space="preserve"> - Unterboden-Proben (20-40 cm, 60-80 cm) aus Löchern von den Decon-Sonden, 8./9. April 2014 </t>
    <phoneticPr fontId="1" type="noConversion"/>
  </si>
  <si>
    <t xml:space="preserve"> - Oberboden-Proben (0-10 cm) mit Stechzylinder - Durchmesser 4.5 cm,  am 8. Mai 2014 </t>
    <phoneticPr fontId="1" type="noConversion"/>
  </si>
  <si>
    <t>PlotNr</t>
    <phoneticPr fontId="1" type="noConversion"/>
  </si>
  <si>
    <t>3.2</t>
    <phoneticPr fontId="1" type="noConversion"/>
  </si>
  <si>
    <t>0-10</t>
    <phoneticPr fontId="1" type="noConversion"/>
  </si>
  <si>
    <t>0-10</t>
    <phoneticPr fontId="1" type="noConversion"/>
  </si>
  <si>
    <t>0-10</t>
    <phoneticPr fontId="1" type="noConversion"/>
  </si>
  <si>
    <t>0-10</t>
    <phoneticPr fontId="1" type="noConversion"/>
  </si>
  <si>
    <t>0-10</t>
    <phoneticPr fontId="1" type="noConversion"/>
  </si>
  <si>
    <t>0-10</t>
    <phoneticPr fontId="1" type="noConversion"/>
  </si>
  <si>
    <t>0-10</t>
    <phoneticPr fontId="1" type="noConversion"/>
  </si>
  <si>
    <t>60-80</t>
    <phoneticPr fontId="1" type="noConversion"/>
  </si>
  <si>
    <t>Wurzeln im Profil: Pfynwald April-Mai 2014 (Ivano Brunner und Claude Herzog)</t>
    <phoneticPr fontId="1" type="noConversion"/>
  </si>
  <si>
    <t>Lochnummer</t>
  </si>
  <si>
    <t>3.2</t>
    <phoneticPr fontId="1" type="noConversion"/>
  </si>
  <si>
    <t>20-40</t>
  </si>
  <si>
    <t>3.2</t>
  </si>
  <si>
    <t>60-80</t>
  </si>
  <si>
    <t>3.4</t>
  </si>
  <si>
    <t>4.5</t>
  </si>
  <si>
    <t>4.6</t>
  </si>
  <si>
    <t>5.7</t>
  </si>
  <si>
    <t>5.8</t>
  </si>
  <si>
    <t>6.10</t>
  </si>
  <si>
    <t>6.12</t>
  </si>
  <si>
    <t>7.13</t>
  </si>
  <si>
    <t>7.16</t>
  </si>
  <si>
    <t>8.17</t>
  </si>
  <si>
    <t>8.18</t>
  </si>
  <si>
    <t>Tiefe_cm</t>
  </si>
  <si>
    <t>Volumen_cm3</t>
  </si>
  <si>
    <t>depth</t>
  </si>
  <si>
    <t>treatment</t>
  </si>
  <si>
    <t>roots_2_g</t>
  </si>
  <si>
    <t>roots_2_5_g</t>
  </si>
  <si>
    <t>roots_2_5_mgcm3</t>
  </si>
  <si>
    <t>roots_2_mgcm3</t>
  </si>
  <si>
    <t>roots_5_10_mgcm3</t>
  </si>
  <si>
    <t>roots_5_10_g</t>
  </si>
  <si>
    <t>irrigated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</si>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</sst>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0"/>
      <name val="Verdana"/>
    </font>
    <font>
      <sz val="8"/>
      <name val="Verdana"/>
    </font>
    <font>
      <sz val="10"/>
      <name val="Arial"/>
    </font>
    <font>
      <b/>
      <sz val="10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Fill="1" applyBorder="1"/>
    <xf numFmtId="0" fontId="2" fillId="0" borderId="5" xfId="0" applyFont="1" applyBorder="1"/>
    <xf numFmtId="0" fontId="2" fillId="0" borderId="5" xfId="0" applyFont="1" applyFill="1" applyBorder="1"/>
    <xf numFmtId="0" fontId="3" fillId="0" borderId="1" xfId="0" applyFont="1" applyBorder="1"/>
    <xf numFmtId="49" fontId="2" fillId="0" borderId="1" xfId="0" applyNumberFormat="1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0" borderId="29" xfId="0" applyFont="1" applyBorder="1"/>
    <xf numFmtId="164" fontId="2" fillId="0" borderId="3" xfId="0" applyNumberFormat="1" applyFont="1" applyBorder="1"/>
    <xf numFmtId="165" fontId="2" fillId="0" borderId="4" xfId="0" applyNumberFormat="1" applyFont="1" applyBorder="1"/>
    <xf numFmtId="1" fontId="2" fillId="4" borderId="5" xfId="0" applyNumberFormat="1" applyFont="1" applyFill="1" applyBorder="1"/>
    <xf numFmtId="2" fontId="2" fillId="0" borderId="34" xfId="0" applyNumberFormat="1" applyFont="1" applyBorder="1"/>
    <xf numFmtId="2" fontId="2" fillId="0" borderId="5" xfId="0" applyNumberFormat="1" applyFont="1" applyBorder="1"/>
    <xf numFmtId="2" fontId="2" fillId="0" borderId="1" xfId="0" applyNumberFormat="1" applyFont="1" applyBorder="1"/>
    <xf numFmtId="49" fontId="2" fillId="0" borderId="18" xfId="0" applyNumberFormat="1" applyFont="1" applyBorder="1" applyAlignment="1" applyProtection="1">
      <alignment horizontal="center"/>
    </xf>
    <xf numFmtId="164" fontId="2" fillId="0" borderId="28" xfId="0" applyNumberFormat="1" applyFont="1" applyBorder="1"/>
    <xf numFmtId="164" fontId="2" fillId="0" borderId="15" xfId="0" applyNumberFormat="1" applyFont="1" applyBorder="1"/>
    <xf numFmtId="165" fontId="2" fillId="0" borderId="16" xfId="0" applyNumberFormat="1" applyFont="1" applyBorder="1"/>
    <xf numFmtId="1" fontId="2" fillId="4" borderId="17" xfId="0" applyNumberFormat="1" applyFont="1" applyFill="1" applyBorder="1"/>
    <xf numFmtId="2" fontId="2" fillId="0" borderId="17" xfId="0" applyNumberFormat="1" applyFont="1" applyBorder="1"/>
    <xf numFmtId="2" fontId="2" fillId="0" borderId="18" xfId="0" applyNumberFormat="1" applyFont="1" applyBorder="1"/>
    <xf numFmtId="49" fontId="2" fillId="0" borderId="12" xfId="0" applyNumberFormat="1" applyFont="1" applyBorder="1" applyAlignment="1" applyProtection="1">
      <alignment horizontal="center"/>
    </xf>
    <xf numFmtId="164" fontId="2" fillId="0" borderId="25" xfId="0" applyNumberFormat="1" applyFont="1" applyBorder="1"/>
    <xf numFmtId="164" fontId="2" fillId="0" borderId="26" xfId="0" applyNumberFormat="1" applyFont="1" applyBorder="1"/>
    <xf numFmtId="165" fontId="2" fillId="0" borderId="27" xfId="0" applyNumberFormat="1" applyFont="1" applyBorder="1"/>
    <xf numFmtId="1" fontId="2" fillId="4" borderId="11" xfId="0" applyNumberFormat="1" applyFont="1" applyFill="1" applyBorder="1"/>
    <xf numFmtId="2" fontId="2" fillId="0" borderId="11" xfId="0" applyNumberFormat="1" applyFont="1" applyBorder="1"/>
    <xf numFmtId="2" fontId="2" fillId="0" borderId="12" xfId="0" applyNumberFormat="1" applyFont="1" applyBorder="1"/>
    <xf numFmtId="49" fontId="2" fillId="0" borderId="19" xfId="0" applyNumberFormat="1" applyFont="1" applyBorder="1" applyAlignment="1" applyProtection="1">
      <alignment horizontal="center"/>
    </xf>
    <xf numFmtId="164" fontId="2" fillId="0" borderId="29" xfId="0" applyNumberFormat="1" applyFont="1" applyBorder="1"/>
    <xf numFmtId="2" fontId="2" fillId="0" borderId="23" xfId="0" applyNumberFormat="1" applyFont="1" applyBorder="1"/>
    <xf numFmtId="2" fontId="2" fillId="0" borderId="33" xfId="0" applyNumberFormat="1" applyFont="1" applyBorder="1"/>
    <xf numFmtId="49" fontId="2" fillId="0" borderId="13" xfId="0" applyNumberFormat="1" applyFont="1" applyBorder="1" applyAlignment="1" applyProtection="1">
      <alignment horizontal="center"/>
    </xf>
    <xf numFmtId="49" fontId="4" fillId="0" borderId="24" xfId="0" applyNumberFormat="1" applyFont="1" applyBorder="1" applyAlignment="1" applyProtection="1">
      <alignment horizontal="center"/>
    </xf>
    <xf numFmtId="2" fontId="2" fillId="0" borderId="10" xfId="0" applyNumberFormat="1" applyFont="1" applyBorder="1"/>
    <xf numFmtId="2" fontId="2" fillId="0" borderId="32" xfId="0" applyNumberFormat="1" applyFont="1" applyBorder="1"/>
    <xf numFmtId="49" fontId="4" fillId="0" borderId="19" xfId="0" applyNumberFormat="1" applyFont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 vertical="center"/>
    </xf>
    <xf numFmtId="164" fontId="2" fillId="0" borderId="20" xfId="0" applyNumberFormat="1" applyFont="1" applyBorder="1"/>
    <xf numFmtId="164" fontId="2" fillId="0" borderId="21" xfId="0" applyNumberFormat="1" applyFont="1" applyBorder="1"/>
    <xf numFmtId="165" fontId="2" fillId="0" borderId="22" xfId="0" applyNumberFormat="1" applyFont="1" applyBorder="1"/>
    <xf numFmtId="0" fontId="2" fillId="0" borderId="23" xfId="0" applyFont="1" applyBorder="1"/>
    <xf numFmtId="1" fontId="2" fillId="3" borderId="5" xfId="0" applyNumberFormat="1" applyFont="1" applyFill="1" applyBorder="1"/>
    <xf numFmtId="49" fontId="4" fillId="0" borderId="13" xfId="0" applyNumberFormat="1" applyFont="1" applyBorder="1" applyAlignment="1" applyProtection="1">
      <alignment horizontal="center"/>
    </xf>
    <xf numFmtId="164" fontId="2" fillId="0" borderId="14" xfId="0" applyNumberFormat="1" applyFont="1" applyBorder="1"/>
    <xf numFmtId="1" fontId="2" fillId="3" borderId="17" xfId="0" applyNumberFormat="1" applyFont="1" applyFill="1" applyBorder="1"/>
    <xf numFmtId="49" fontId="4" fillId="0" borderId="6" xfId="0" applyNumberFormat="1" applyFont="1" applyBorder="1" applyAlignment="1" applyProtection="1">
      <alignment horizontal="center"/>
    </xf>
    <xf numFmtId="164" fontId="2" fillId="0" borderId="7" xfId="0" applyNumberFormat="1" applyFont="1" applyBorder="1"/>
    <xf numFmtId="164" fontId="2" fillId="0" borderId="8" xfId="0" applyNumberFormat="1" applyFont="1" applyBorder="1"/>
    <xf numFmtId="165" fontId="2" fillId="0" borderId="9" xfId="0" applyNumberFormat="1" applyFont="1" applyBorder="1"/>
    <xf numFmtId="1" fontId="2" fillId="3" borderId="11" xfId="0" applyNumberFormat="1" applyFont="1" applyFill="1" applyBorder="1"/>
    <xf numFmtId="49" fontId="4" fillId="0" borderId="1" xfId="0" applyNumberFormat="1" applyFont="1" applyBorder="1" applyAlignment="1" applyProtection="1">
      <alignment horizontal="center"/>
    </xf>
    <xf numFmtId="164" fontId="2" fillId="0" borderId="2" xfId="0" applyNumberFormat="1" applyFont="1" applyBorder="1"/>
    <xf numFmtId="49" fontId="4" fillId="0" borderId="18" xfId="0" applyNumberFormat="1" applyFont="1" applyBorder="1" applyAlignment="1" applyProtection="1">
      <alignment horizontal="center"/>
    </xf>
    <xf numFmtId="49" fontId="4" fillId="0" borderId="12" xfId="0" applyNumberFormat="1" applyFont="1" applyBorder="1" applyAlignment="1" applyProtection="1">
      <alignment horizontal="center"/>
    </xf>
    <xf numFmtId="164" fontId="2" fillId="0" borderId="30" xfId="0" applyNumberFormat="1" applyFont="1" applyBorder="1"/>
    <xf numFmtId="49" fontId="4" fillId="0" borderId="31" xfId="0" applyNumberFormat="1" applyFont="1" applyBorder="1" applyAlignment="1" applyProtection="1">
      <alignment horizontal="center"/>
    </xf>
    <xf numFmtId="49" fontId="4" fillId="0" borderId="19" xfId="0" applyNumberFormat="1" applyFont="1" applyFill="1" applyBorder="1" applyAlignment="1" applyProtection="1">
      <alignment horizontal="center"/>
    </xf>
    <xf numFmtId="49" fontId="4" fillId="0" borderId="13" xfId="0" applyNumberFormat="1" applyFont="1" applyFill="1" applyBorder="1" applyAlignment="1">
      <alignment horizontal="center"/>
    </xf>
    <xf numFmtId="49" fontId="4" fillId="0" borderId="24" xfId="0" applyNumberFormat="1" applyFont="1" applyFill="1" applyBorder="1" applyAlignment="1" applyProtection="1">
      <alignment horizontal="center"/>
    </xf>
    <xf numFmtId="49" fontId="4" fillId="0" borderId="13" xfId="0" applyNumberFormat="1" applyFont="1" applyFill="1" applyBorder="1" applyAlignment="1" applyProtection="1">
      <alignment horizontal="center"/>
    </xf>
    <xf numFmtId="49" fontId="2" fillId="0" borderId="24" xfId="0" applyNumberFormat="1" applyFont="1" applyBorder="1" applyAlignment="1" applyProtection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topLeftCell="A2" zoomScale="125" workbookViewId="0">
      <selection activeCell="H36" sqref="H36:H41"/>
    </sheetView>
  </sheetViews>
  <sheetFormatPr defaultColWidth="10.90625" defaultRowHeight="12.6" x14ac:dyDescent="0.2"/>
  <cols>
    <col min="1" max="1" width="9.453125" customWidth="1"/>
    <col min="2" max="2" width="8.1796875" customWidth="1"/>
    <col min="4" max="4" width="11.54296875" customWidth="1"/>
    <col min="5" max="5" width="11.81640625" customWidth="1"/>
    <col min="6" max="6" width="7.54296875" customWidth="1"/>
    <col min="7" max="7" width="9.26953125" customWidth="1"/>
    <col min="8" max="8" width="4.54296875" customWidth="1"/>
    <col min="9" max="9" width="11.81640625" customWidth="1"/>
    <col min="10" max="10" width="12.1796875" customWidth="1"/>
    <col min="11" max="11" width="12.26953125" customWidth="1"/>
  </cols>
  <sheetData>
    <row r="1" spans="1:12" ht="13.2" x14ac:dyDescent="0.25">
      <c r="A1" s="65" t="s">
        <v>12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2" ht="13.2" x14ac:dyDescent="0.25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2" ht="13.2" x14ac:dyDescent="0.25">
      <c r="A3" s="66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2" ht="13.8" thickBot="1" x14ac:dyDescent="0.3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12" ht="13.8" thickBot="1" x14ac:dyDescent="0.3">
      <c r="A5" s="1" t="s">
        <v>13</v>
      </c>
      <c r="B5" s="1" t="s">
        <v>29</v>
      </c>
      <c r="C5" t="s">
        <v>31</v>
      </c>
      <c r="D5" s="2" t="s">
        <v>33</v>
      </c>
      <c r="E5" s="2" t="s">
        <v>34</v>
      </c>
      <c r="F5" s="2" t="s">
        <v>38</v>
      </c>
      <c r="G5" s="4" t="s">
        <v>30</v>
      </c>
      <c r="H5" s="5" t="s">
        <v>32</v>
      </c>
      <c r="I5" s="6" t="s">
        <v>2</v>
      </c>
      <c r="J5" s="7" t="s">
        <v>36</v>
      </c>
      <c r="K5" s="7" t="s">
        <v>35</v>
      </c>
      <c r="L5" s="7" t="s">
        <v>37</v>
      </c>
    </row>
    <row r="6" spans="1:12" ht="13.8" thickBot="1" x14ac:dyDescent="0.3">
      <c r="A6" s="8" t="s">
        <v>3</v>
      </c>
      <c r="B6" s="9" t="s">
        <v>4</v>
      </c>
      <c r="C6">
        <v>5</v>
      </c>
      <c r="D6" s="10">
        <v>0.64600000000000002</v>
      </c>
      <c r="E6" s="3">
        <f>SUM(E5:E5)</f>
        <v>0</v>
      </c>
      <c r="F6" s="11">
        <v>0</v>
      </c>
      <c r="G6" s="12">
        <v>214.59899999999999</v>
      </c>
      <c r="H6" s="5" t="s">
        <v>39</v>
      </c>
      <c r="I6" s="13">
        <v>3</v>
      </c>
      <c r="J6" s="14">
        <f>D6/G6*1000</f>
        <v>3.0102656582742702</v>
      </c>
      <c r="K6" s="15">
        <f>E6/G6*1000</f>
        <v>0</v>
      </c>
      <c r="L6" s="16">
        <f>F6/G6*1000</f>
        <v>0</v>
      </c>
    </row>
    <row r="7" spans="1:12" ht="13.8" thickBot="1" x14ac:dyDescent="0.3">
      <c r="A7" s="17" t="s">
        <v>14</v>
      </c>
      <c r="B7" s="17" t="s">
        <v>15</v>
      </c>
      <c r="C7">
        <v>30</v>
      </c>
      <c r="D7" s="18">
        <v>11.45</v>
      </c>
      <c r="E7" s="19">
        <v>6.6630000000000003</v>
      </c>
      <c r="F7" s="19">
        <v>4.8970000000000002</v>
      </c>
      <c r="G7" s="20">
        <v>5092.6949999999997</v>
      </c>
      <c r="H7" s="5" t="s">
        <v>39</v>
      </c>
      <c r="I7" s="21">
        <v>3</v>
      </c>
      <c r="J7" s="22">
        <f t="shared" ref="J7:J41" si="0">D7/G7*1000</f>
        <v>2.2483184247240411</v>
      </c>
      <c r="K7" s="22">
        <f>E7/G7*1000</f>
        <v>1.3083445994704181</v>
      </c>
      <c r="L7" s="23">
        <f>F7/G7*1000</f>
        <v>0.96157339090599381</v>
      </c>
    </row>
    <row r="8" spans="1:12" ht="13.8" thickBot="1" x14ac:dyDescent="0.3">
      <c r="A8" s="24" t="s">
        <v>16</v>
      </c>
      <c r="B8" s="24" t="s">
        <v>17</v>
      </c>
      <c r="C8">
        <v>70</v>
      </c>
      <c r="D8" s="25">
        <v>0</v>
      </c>
      <c r="E8" s="26">
        <v>0</v>
      </c>
      <c r="F8" s="26">
        <v>0</v>
      </c>
      <c r="G8" s="27">
        <v>0</v>
      </c>
      <c r="H8" s="5" t="s">
        <v>39</v>
      </c>
      <c r="I8" s="28">
        <v>3</v>
      </c>
      <c r="J8" s="29">
        <v>0</v>
      </c>
      <c r="K8" s="29">
        <v>0</v>
      </c>
      <c r="L8" s="30">
        <v>0</v>
      </c>
    </row>
    <row r="9" spans="1:12" ht="13.8" thickBot="1" x14ac:dyDescent="0.3">
      <c r="A9" s="31" t="s">
        <v>18</v>
      </c>
      <c r="B9" s="9" t="s">
        <v>5</v>
      </c>
      <c r="C9">
        <v>5</v>
      </c>
      <c r="D9" s="32">
        <v>0.61899999999999999</v>
      </c>
      <c r="E9" s="11">
        <v>0</v>
      </c>
      <c r="F9" s="11">
        <v>0</v>
      </c>
      <c r="G9" s="12">
        <v>206.65199999999999</v>
      </c>
      <c r="H9" s="5" t="s">
        <v>39</v>
      </c>
      <c r="I9" s="13">
        <v>3</v>
      </c>
      <c r="J9" s="15">
        <f t="shared" si="0"/>
        <v>2.9953738652420494</v>
      </c>
      <c r="K9" s="33">
        <f>E9/G9*1000</f>
        <v>0</v>
      </c>
      <c r="L9" s="34">
        <f>F9/G9*1000</f>
        <v>0</v>
      </c>
    </row>
    <row r="10" spans="1:12" ht="13.8" thickBot="1" x14ac:dyDescent="0.3">
      <c r="A10" s="35" t="s">
        <v>18</v>
      </c>
      <c r="B10" s="35" t="s">
        <v>15</v>
      </c>
      <c r="C10">
        <v>30</v>
      </c>
      <c r="D10" s="18">
        <v>10.029999999999999</v>
      </c>
      <c r="E10" s="19">
        <v>0.73299999999999998</v>
      </c>
      <c r="F10" s="19">
        <v>5.4130000000000003</v>
      </c>
      <c r="G10" s="20">
        <v>5975.7139999999999</v>
      </c>
      <c r="H10" s="5" t="s">
        <v>39</v>
      </c>
      <c r="I10" s="21">
        <v>3</v>
      </c>
      <c r="J10" s="22">
        <f t="shared" si="0"/>
        <v>1.6784605153459484</v>
      </c>
      <c r="K10" s="22">
        <f t="shared" ref="K10:K41" si="1">E10/G10*1000</f>
        <v>0.12266316627602994</v>
      </c>
      <c r="L10" s="23">
        <f t="shared" ref="L10:L41" si="2">F10/G10*1000</f>
        <v>0.90583317742448866</v>
      </c>
    </row>
    <row r="11" spans="1:12" ht="13.8" thickBot="1" x14ac:dyDescent="0.3">
      <c r="A11" s="36" t="s">
        <v>18</v>
      </c>
      <c r="B11" s="36" t="s">
        <v>17</v>
      </c>
      <c r="C11">
        <v>70</v>
      </c>
      <c r="D11" s="25">
        <v>0.82799999999999996</v>
      </c>
      <c r="E11" s="26">
        <v>1.4890000000000001</v>
      </c>
      <c r="F11" s="26">
        <v>0</v>
      </c>
      <c r="G11" s="27">
        <v>3663.377</v>
      </c>
      <c r="H11" s="5" t="s">
        <v>39</v>
      </c>
      <c r="I11" s="28">
        <v>3</v>
      </c>
      <c r="J11" s="29">
        <f t="shared" si="0"/>
        <v>0.22602096371735694</v>
      </c>
      <c r="K11" s="37">
        <f t="shared" si="1"/>
        <v>0.40645557364147888</v>
      </c>
      <c r="L11" s="38">
        <f t="shared" si="2"/>
        <v>0</v>
      </c>
    </row>
    <row r="12" spans="1:12" ht="13.2" x14ac:dyDescent="0.25">
      <c r="A12" s="39" t="s">
        <v>19</v>
      </c>
      <c r="B12" s="40" t="s">
        <v>6</v>
      </c>
      <c r="C12">
        <v>5</v>
      </c>
      <c r="D12" s="41">
        <v>0.498</v>
      </c>
      <c r="E12" s="42">
        <v>0</v>
      </c>
      <c r="F12" s="42">
        <v>0</v>
      </c>
      <c r="G12" s="43">
        <v>222.547</v>
      </c>
      <c r="H12" s="44" t="s">
        <v>40</v>
      </c>
      <c r="I12" s="45">
        <v>4</v>
      </c>
      <c r="J12" s="15">
        <f t="shared" si="0"/>
        <v>2.2377295582506167</v>
      </c>
      <c r="K12" s="15">
        <f t="shared" si="1"/>
        <v>0</v>
      </c>
      <c r="L12" s="16">
        <f t="shared" si="2"/>
        <v>0</v>
      </c>
    </row>
    <row r="13" spans="1:12" ht="13.2" x14ac:dyDescent="0.25">
      <c r="A13" s="46" t="s">
        <v>19</v>
      </c>
      <c r="B13" s="46" t="s">
        <v>15</v>
      </c>
      <c r="C13">
        <v>30</v>
      </c>
      <c r="D13" s="47">
        <v>3.3610000000000002</v>
      </c>
      <c r="E13" s="19">
        <v>3.34</v>
      </c>
      <c r="F13" s="19">
        <v>26.135000000000002</v>
      </c>
      <c r="G13" s="20">
        <v>3595.4520000000002</v>
      </c>
      <c r="H13" s="44" t="s">
        <v>40</v>
      </c>
      <c r="I13" s="48">
        <v>4</v>
      </c>
      <c r="J13" s="22">
        <f t="shared" si="0"/>
        <v>0.93479206508667056</v>
      </c>
      <c r="K13" s="22">
        <f t="shared" si="1"/>
        <v>0.92895135298705123</v>
      </c>
      <c r="L13" s="23">
        <f t="shared" si="2"/>
        <v>7.2689052725498771</v>
      </c>
    </row>
    <row r="14" spans="1:12" ht="13.8" thickBot="1" x14ac:dyDescent="0.3">
      <c r="A14" s="49" t="s">
        <v>19</v>
      </c>
      <c r="B14" s="49" t="s">
        <v>17</v>
      </c>
      <c r="C14">
        <v>70</v>
      </c>
      <c r="D14" s="50">
        <v>0.59399999999999997</v>
      </c>
      <c r="E14" s="51">
        <v>0.74</v>
      </c>
      <c r="F14" s="51">
        <v>0</v>
      </c>
      <c r="G14" s="52">
        <v>1673.827</v>
      </c>
      <c r="H14" s="44" t="s">
        <v>40</v>
      </c>
      <c r="I14" s="53">
        <v>4</v>
      </c>
      <c r="J14" s="29">
        <f t="shared" si="0"/>
        <v>0.3548753843736539</v>
      </c>
      <c r="K14" s="29">
        <f t="shared" si="1"/>
        <v>0.44210064719950154</v>
      </c>
      <c r="L14" s="30">
        <f t="shared" si="2"/>
        <v>0</v>
      </c>
    </row>
    <row r="15" spans="1:12" ht="13.2" x14ac:dyDescent="0.25">
      <c r="A15" s="54" t="s">
        <v>20</v>
      </c>
      <c r="B15" s="40" t="s">
        <v>7</v>
      </c>
      <c r="C15">
        <v>5</v>
      </c>
      <c r="D15" s="55">
        <v>0.72099999999999997</v>
      </c>
      <c r="E15" s="11">
        <v>0</v>
      </c>
      <c r="F15" s="11">
        <v>0</v>
      </c>
      <c r="G15" s="12">
        <v>254.34100000000001</v>
      </c>
      <c r="H15" s="44" t="s">
        <v>40</v>
      </c>
      <c r="I15" s="45">
        <v>4</v>
      </c>
      <c r="J15" s="15">
        <f>D15/G15*1000</f>
        <v>2.8347769333296635</v>
      </c>
      <c r="K15" s="15">
        <f t="shared" si="1"/>
        <v>0</v>
      </c>
      <c r="L15" s="16">
        <f t="shared" si="2"/>
        <v>0</v>
      </c>
    </row>
    <row r="16" spans="1:12" ht="13.2" x14ac:dyDescent="0.25">
      <c r="A16" s="56" t="s">
        <v>20</v>
      </c>
      <c r="B16" s="56" t="s">
        <v>15</v>
      </c>
      <c r="C16">
        <v>30</v>
      </c>
      <c r="D16" s="47">
        <v>6.1890000000000001</v>
      </c>
      <c r="E16" s="19">
        <v>1.452</v>
      </c>
      <c r="F16" s="19">
        <v>8.8870000000000005</v>
      </c>
      <c r="G16" s="20">
        <v>2076.73</v>
      </c>
      <c r="H16" s="44" t="s">
        <v>40</v>
      </c>
      <c r="I16" s="48">
        <v>4</v>
      </c>
      <c r="J16" s="22">
        <f t="shared" si="0"/>
        <v>2.9801659339442295</v>
      </c>
      <c r="K16" s="22">
        <f>E16/G16*1000</f>
        <v>0.69917610859379886</v>
      </c>
      <c r="L16" s="23">
        <f>F16/G16*1000</f>
        <v>4.2793237445406964</v>
      </c>
    </row>
    <row r="17" spans="1:12" ht="13.8" thickBot="1" x14ac:dyDescent="0.3">
      <c r="A17" s="57" t="s">
        <v>20</v>
      </c>
      <c r="B17" s="57" t="s">
        <v>17</v>
      </c>
      <c r="C17">
        <v>70</v>
      </c>
      <c r="D17" s="58">
        <v>1.137</v>
      </c>
      <c r="E17" s="26">
        <v>0.36899999999999999</v>
      </c>
      <c r="F17" s="26">
        <v>0</v>
      </c>
      <c r="G17" s="27">
        <v>1629.415</v>
      </c>
      <c r="H17" s="44" t="s">
        <v>40</v>
      </c>
      <c r="I17" s="53">
        <v>4</v>
      </c>
      <c r="J17" s="29">
        <f t="shared" si="0"/>
        <v>0.69779644841860422</v>
      </c>
      <c r="K17" s="29">
        <f t="shared" si="1"/>
        <v>0.22646164420973172</v>
      </c>
      <c r="L17" s="30">
        <f t="shared" si="2"/>
        <v>0</v>
      </c>
    </row>
    <row r="18" spans="1:12" ht="13.2" x14ac:dyDescent="0.25">
      <c r="A18" s="54" t="s">
        <v>21</v>
      </c>
      <c r="B18" s="40" t="s">
        <v>8</v>
      </c>
      <c r="C18">
        <v>5</v>
      </c>
      <c r="D18" s="55">
        <v>1.1028</v>
      </c>
      <c r="E18" s="11">
        <v>0</v>
      </c>
      <c r="F18" s="11">
        <v>0</v>
      </c>
      <c r="G18" s="12">
        <v>278.185</v>
      </c>
      <c r="H18" s="44" t="s">
        <v>40</v>
      </c>
      <c r="I18" s="45">
        <v>5</v>
      </c>
      <c r="J18" s="15">
        <f t="shared" si="0"/>
        <v>3.9642683825511797</v>
      </c>
      <c r="K18" s="15">
        <f t="shared" si="1"/>
        <v>0</v>
      </c>
      <c r="L18" s="16">
        <f t="shared" si="2"/>
        <v>0</v>
      </c>
    </row>
    <row r="19" spans="1:12" ht="13.2" x14ac:dyDescent="0.25">
      <c r="A19" s="59" t="s">
        <v>21</v>
      </c>
      <c r="B19" s="59" t="s">
        <v>15</v>
      </c>
      <c r="C19">
        <v>30</v>
      </c>
      <c r="D19" s="41">
        <v>2.2050000000000001</v>
      </c>
      <c r="E19" s="42">
        <v>0.309</v>
      </c>
      <c r="F19" s="42">
        <v>0</v>
      </c>
      <c r="G19" s="43">
        <v>2623.319</v>
      </c>
      <c r="H19" s="44" t="s">
        <v>40</v>
      </c>
      <c r="I19" s="48">
        <v>5</v>
      </c>
      <c r="J19" s="22">
        <f t="shared" si="0"/>
        <v>0.84053826469445769</v>
      </c>
      <c r="K19" s="22">
        <f t="shared" si="1"/>
        <v>0.11778971600480155</v>
      </c>
      <c r="L19" s="23">
        <f t="shared" si="2"/>
        <v>0</v>
      </c>
    </row>
    <row r="20" spans="1:12" ht="13.8" thickBot="1" x14ac:dyDescent="0.3">
      <c r="A20" s="36" t="s">
        <v>21</v>
      </c>
      <c r="B20" s="36" t="s">
        <v>17</v>
      </c>
      <c r="C20">
        <v>70</v>
      </c>
      <c r="D20" s="58">
        <v>0.35199999999999998</v>
      </c>
      <c r="E20" s="26">
        <v>0</v>
      </c>
      <c r="F20" s="26">
        <v>0</v>
      </c>
      <c r="G20" s="27">
        <v>72.182000000000002</v>
      </c>
      <c r="H20" s="44" t="s">
        <v>40</v>
      </c>
      <c r="I20" s="53">
        <v>5</v>
      </c>
      <c r="J20" s="29">
        <f t="shared" si="0"/>
        <v>4.8765620237732392</v>
      </c>
      <c r="K20" s="29">
        <f t="shared" si="1"/>
        <v>0</v>
      </c>
      <c r="L20" s="30">
        <f t="shared" si="2"/>
        <v>0</v>
      </c>
    </row>
    <row r="21" spans="1:12" ht="13.2" x14ac:dyDescent="0.25">
      <c r="A21" s="39" t="s">
        <v>22</v>
      </c>
      <c r="B21" s="40" t="s">
        <v>9</v>
      </c>
      <c r="C21">
        <v>5</v>
      </c>
      <c r="D21" s="55">
        <v>0.29899999999999999</v>
      </c>
      <c r="E21" s="11">
        <v>0</v>
      </c>
      <c r="F21" s="11">
        <v>0</v>
      </c>
      <c r="G21" s="12">
        <v>174.85900000000001</v>
      </c>
      <c r="H21" s="44" t="s">
        <v>40</v>
      </c>
      <c r="I21" s="45">
        <v>5</v>
      </c>
      <c r="J21" s="15">
        <f t="shared" si="0"/>
        <v>1.7099491590367095</v>
      </c>
      <c r="K21" s="15">
        <f t="shared" si="1"/>
        <v>0</v>
      </c>
      <c r="L21" s="16">
        <f t="shared" si="2"/>
        <v>0</v>
      </c>
    </row>
    <row r="22" spans="1:12" ht="13.2" x14ac:dyDescent="0.25">
      <c r="A22" s="46" t="s">
        <v>22</v>
      </c>
      <c r="B22" s="46" t="s">
        <v>15</v>
      </c>
      <c r="C22">
        <v>30</v>
      </c>
      <c r="D22" s="47">
        <v>3.7549999999999999</v>
      </c>
      <c r="E22" s="19">
        <v>0</v>
      </c>
      <c r="F22" s="19">
        <v>8.0679999999999996</v>
      </c>
      <c r="G22" s="20">
        <v>3213.74</v>
      </c>
      <c r="H22" s="44" t="s">
        <v>40</v>
      </c>
      <c r="I22" s="48">
        <v>5</v>
      </c>
      <c r="J22" s="22">
        <f t="shared" si="0"/>
        <v>1.1684205940741941</v>
      </c>
      <c r="K22" s="22">
        <f t="shared" si="1"/>
        <v>0</v>
      </c>
      <c r="L22" s="23">
        <f t="shared" si="2"/>
        <v>2.510470666575392</v>
      </c>
    </row>
    <row r="23" spans="1:12" ht="13.8" thickBot="1" x14ac:dyDescent="0.3">
      <c r="A23" s="36" t="s">
        <v>22</v>
      </c>
      <c r="B23" s="36" t="s">
        <v>17</v>
      </c>
      <c r="C23">
        <v>70</v>
      </c>
      <c r="D23" s="58">
        <v>1.0309999999999999</v>
      </c>
      <c r="E23" s="26">
        <v>0.878</v>
      </c>
      <c r="F23" s="26">
        <v>0</v>
      </c>
      <c r="G23" s="27">
        <v>2364.1990000000001</v>
      </c>
      <c r="H23" s="44" t="s">
        <v>40</v>
      </c>
      <c r="I23" s="53">
        <v>5</v>
      </c>
      <c r="J23" s="29">
        <f t="shared" si="0"/>
        <v>0.43608850185623116</v>
      </c>
      <c r="K23" s="29">
        <f t="shared" si="1"/>
        <v>0.37137313737126187</v>
      </c>
      <c r="L23" s="30">
        <f t="shared" si="2"/>
        <v>0</v>
      </c>
    </row>
    <row r="24" spans="1:12" ht="13.8" thickBot="1" x14ac:dyDescent="0.3">
      <c r="A24" s="60" t="s">
        <v>23</v>
      </c>
      <c r="B24" s="40" t="s">
        <v>10</v>
      </c>
      <c r="C24">
        <v>5</v>
      </c>
      <c r="D24" s="55">
        <v>0.754</v>
      </c>
      <c r="E24" s="11">
        <v>0</v>
      </c>
      <c r="F24" s="11">
        <v>0</v>
      </c>
      <c r="G24" s="12">
        <v>302.029</v>
      </c>
      <c r="H24" s="5" t="s">
        <v>39</v>
      </c>
      <c r="I24" s="13">
        <v>6</v>
      </c>
      <c r="J24" s="15">
        <f t="shared" si="0"/>
        <v>2.496449016485172</v>
      </c>
      <c r="K24" s="15">
        <f t="shared" si="1"/>
        <v>0</v>
      </c>
      <c r="L24" s="16">
        <f t="shared" si="2"/>
        <v>0</v>
      </c>
    </row>
    <row r="25" spans="1:12" ht="13.8" thickBot="1" x14ac:dyDescent="0.3">
      <c r="A25" s="61" t="s">
        <v>23</v>
      </c>
      <c r="B25" s="46" t="s">
        <v>15</v>
      </c>
      <c r="C25">
        <v>30</v>
      </c>
      <c r="D25" s="47">
        <v>4.6319999999999997</v>
      </c>
      <c r="E25" s="19">
        <v>2.6219999999999999</v>
      </c>
      <c r="F25" s="19">
        <v>0.54900000000000004</v>
      </c>
      <c r="G25" s="20">
        <v>7346.2020000000002</v>
      </c>
      <c r="H25" s="5" t="s">
        <v>39</v>
      </c>
      <c r="I25" s="21">
        <v>6</v>
      </c>
      <c r="J25" s="22">
        <f t="shared" si="0"/>
        <v>0.63052989830663519</v>
      </c>
      <c r="K25" s="22">
        <f t="shared" si="1"/>
        <v>0.35691912637305639</v>
      </c>
      <c r="L25" s="23">
        <f t="shared" si="2"/>
        <v>7.4732494423649112E-2</v>
      </c>
    </row>
    <row r="26" spans="1:12" ht="13.8" thickBot="1" x14ac:dyDescent="0.3">
      <c r="A26" s="62" t="s">
        <v>23</v>
      </c>
      <c r="B26" s="36" t="s">
        <v>17</v>
      </c>
      <c r="C26">
        <v>70</v>
      </c>
      <c r="D26" s="58">
        <v>2.6549999999999998</v>
      </c>
      <c r="E26" s="26">
        <v>3.6</v>
      </c>
      <c r="F26" s="26">
        <v>7.9420000000000002</v>
      </c>
      <c r="G26" s="27">
        <v>5393.5169999999998</v>
      </c>
      <c r="H26" s="5" t="s">
        <v>39</v>
      </c>
      <c r="I26" s="28">
        <v>6</v>
      </c>
      <c r="J26" s="29">
        <f t="shared" si="0"/>
        <v>0.49225764932232524</v>
      </c>
      <c r="K26" s="29">
        <f t="shared" si="1"/>
        <v>0.66746799908111909</v>
      </c>
      <c r="L26" s="30">
        <f t="shared" si="2"/>
        <v>1.4725085690839577</v>
      </c>
    </row>
    <row r="27" spans="1:12" ht="13.8" thickBot="1" x14ac:dyDescent="0.3">
      <c r="A27" s="60" t="s">
        <v>24</v>
      </c>
      <c r="B27" s="40" t="s">
        <v>10</v>
      </c>
      <c r="C27">
        <v>5</v>
      </c>
      <c r="D27" s="55">
        <v>0.80300000000000005</v>
      </c>
      <c r="E27" s="11">
        <v>9.8000000000000004E-2</v>
      </c>
      <c r="F27" s="11">
        <v>0</v>
      </c>
      <c r="G27" s="12">
        <v>302.02999999999997</v>
      </c>
      <c r="H27" s="5" t="s">
        <v>39</v>
      </c>
      <c r="I27" s="13">
        <v>6</v>
      </c>
      <c r="J27" s="15">
        <f t="shared" si="0"/>
        <v>2.6586762904347254</v>
      </c>
      <c r="K27" s="15">
        <f t="shared" si="1"/>
        <v>0.32447107903188427</v>
      </c>
      <c r="L27" s="16">
        <f t="shared" si="2"/>
        <v>0</v>
      </c>
    </row>
    <row r="28" spans="1:12" ht="13.8" thickBot="1" x14ac:dyDescent="0.3">
      <c r="A28" s="63" t="s">
        <v>24</v>
      </c>
      <c r="B28" s="46" t="s">
        <v>15</v>
      </c>
      <c r="C28">
        <v>30</v>
      </c>
      <c r="D28" s="47">
        <v>9.9220000000000006</v>
      </c>
      <c r="E28" s="19">
        <v>8.3089999999999993</v>
      </c>
      <c r="F28" s="19">
        <v>20.561</v>
      </c>
      <c r="G28" s="20">
        <v>6277.31</v>
      </c>
      <c r="H28" s="5" t="s">
        <v>39</v>
      </c>
      <c r="I28" s="21">
        <v>6</v>
      </c>
      <c r="J28" s="22">
        <f t="shared" si="0"/>
        <v>1.5806133518975485</v>
      </c>
      <c r="K28" s="22">
        <f t="shared" si="1"/>
        <v>1.3236561520778802</v>
      </c>
      <c r="L28" s="23">
        <f t="shared" si="2"/>
        <v>3.2754476041489107</v>
      </c>
    </row>
    <row r="29" spans="1:12" ht="13.8" thickBot="1" x14ac:dyDescent="0.3">
      <c r="A29" s="62" t="s">
        <v>24</v>
      </c>
      <c r="B29" s="36" t="s">
        <v>17</v>
      </c>
      <c r="C29">
        <v>70</v>
      </c>
      <c r="D29" s="58">
        <v>2.9340000000000002</v>
      </c>
      <c r="E29" s="26">
        <v>1.1739999999999999</v>
      </c>
      <c r="F29" s="26">
        <v>0</v>
      </c>
      <c r="G29" s="27">
        <v>4321.4319999999998</v>
      </c>
      <c r="H29" s="5" t="s">
        <v>39</v>
      </c>
      <c r="I29" s="28">
        <v>6</v>
      </c>
      <c r="J29" s="29">
        <f t="shared" si="0"/>
        <v>0.67894161009591281</v>
      </c>
      <c r="K29" s="29">
        <f t="shared" si="1"/>
        <v>0.27166920594839855</v>
      </c>
      <c r="L29" s="30">
        <f t="shared" si="2"/>
        <v>0</v>
      </c>
    </row>
    <row r="30" spans="1:12" ht="13.8" thickBot="1" x14ac:dyDescent="0.3">
      <c r="A30" s="39" t="s">
        <v>25</v>
      </c>
      <c r="B30" s="40" t="s">
        <v>10</v>
      </c>
      <c r="C30">
        <v>5</v>
      </c>
      <c r="D30" s="55">
        <v>0.86</v>
      </c>
      <c r="E30" s="11">
        <v>0.188</v>
      </c>
      <c r="F30" s="11">
        <v>0</v>
      </c>
      <c r="G30" s="12">
        <v>302.029</v>
      </c>
      <c r="H30" s="5" t="s">
        <v>39</v>
      </c>
      <c r="I30" s="13">
        <v>7</v>
      </c>
      <c r="J30" s="15">
        <f t="shared" si="0"/>
        <v>2.8474086925427686</v>
      </c>
      <c r="K30" s="15">
        <f t="shared" si="1"/>
        <v>0.62245678395120996</v>
      </c>
      <c r="L30" s="16">
        <f t="shared" si="2"/>
        <v>0</v>
      </c>
    </row>
    <row r="31" spans="1:12" ht="13.8" thickBot="1" x14ac:dyDescent="0.3">
      <c r="A31" s="46" t="s">
        <v>25</v>
      </c>
      <c r="B31" s="46" t="s">
        <v>15</v>
      </c>
      <c r="C31">
        <v>30</v>
      </c>
      <c r="D31" s="47">
        <v>13.054</v>
      </c>
      <c r="E31" s="19">
        <v>0.97599999999999998</v>
      </c>
      <c r="F31" s="19">
        <v>8.4719999999999995</v>
      </c>
      <c r="G31" s="20">
        <v>4171.9399999999996</v>
      </c>
      <c r="H31" s="5" t="s">
        <v>39</v>
      </c>
      <c r="I31" s="21">
        <v>7</v>
      </c>
      <c r="J31" s="22">
        <f t="shared" si="0"/>
        <v>3.128999937678874</v>
      </c>
      <c r="K31" s="22">
        <f t="shared" si="1"/>
        <v>0.23394392057412139</v>
      </c>
      <c r="L31" s="23">
        <f t="shared" si="2"/>
        <v>2.030709933508152</v>
      </c>
    </row>
    <row r="32" spans="1:12" ht="13.8" thickBot="1" x14ac:dyDescent="0.3">
      <c r="A32" s="36" t="s">
        <v>25</v>
      </c>
      <c r="B32" s="36" t="s">
        <v>17</v>
      </c>
      <c r="C32">
        <v>70</v>
      </c>
      <c r="D32" s="58">
        <v>1.1080000000000001</v>
      </c>
      <c r="E32" s="26">
        <v>0</v>
      </c>
      <c r="F32" s="26">
        <v>0</v>
      </c>
      <c r="G32" s="27">
        <v>3286.212</v>
      </c>
      <c r="H32" s="5" t="s">
        <v>39</v>
      </c>
      <c r="I32" s="28">
        <v>7</v>
      </c>
      <c r="J32" s="29">
        <f t="shared" si="0"/>
        <v>0.33716631793688301</v>
      </c>
      <c r="K32" s="29">
        <f t="shared" si="1"/>
        <v>0</v>
      </c>
      <c r="L32" s="30">
        <f t="shared" si="2"/>
        <v>0</v>
      </c>
    </row>
    <row r="33" spans="1:12" ht="13.8" thickBot="1" x14ac:dyDescent="0.3">
      <c r="A33" s="39" t="s">
        <v>26</v>
      </c>
      <c r="B33" s="40" t="s">
        <v>10</v>
      </c>
      <c r="C33">
        <v>5</v>
      </c>
      <c r="D33" s="55">
        <v>1.345</v>
      </c>
      <c r="E33" s="11">
        <v>0.22500000000000001</v>
      </c>
      <c r="F33" s="11">
        <v>0</v>
      </c>
      <c r="G33" s="12">
        <v>238.44399999999999</v>
      </c>
      <c r="H33" s="5" t="s">
        <v>39</v>
      </c>
      <c r="I33" s="13">
        <v>7</v>
      </c>
      <c r="J33" s="15">
        <f t="shared" si="0"/>
        <v>5.6407374477864822</v>
      </c>
      <c r="K33" s="15">
        <f t="shared" si="1"/>
        <v>0.94361778866316626</v>
      </c>
      <c r="L33" s="16">
        <f t="shared" si="2"/>
        <v>0</v>
      </c>
    </row>
    <row r="34" spans="1:12" ht="13.8" thickBot="1" x14ac:dyDescent="0.3">
      <c r="A34" s="46" t="s">
        <v>26</v>
      </c>
      <c r="B34" s="46" t="s">
        <v>15</v>
      </c>
      <c r="C34">
        <v>30</v>
      </c>
      <c r="D34" s="47">
        <v>10.561999999999999</v>
      </c>
      <c r="E34" s="19">
        <v>1.175</v>
      </c>
      <c r="F34" s="19">
        <v>0</v>
      </c>
      <c r="G34" s="20">
        <v>4236.9620000000004</v>
      </c>
      <c r="H34" s="5" t="s">
        <v>39</v>
      </c>
      <c r="I34" s="21">
        <v>7</v>
      </c>
      <c r="J34" s="22">
        <f t="shared" si="0"/>
        <v>2.4928238676674459</v>
      </c>
      <c r="K34" s="22">
        <f t="shared" si="1"/>
        <v>0.2773213448692719</v>
      </c>
      <c r="L34" s="23">
        <f t="shared" si="2"/>
        <v>0</v>
      </c>
    </row>
    <row r="35" spans="1:12" ht="13.8" thickBot="1" x14ac:dyDescent="0.3">
      <c r="A35" s="36" t="s">
        <v>26</v>
      </c>
      <c r="B35" s="36" t="s">
        <v>17</v>
      </c>
      <c r="C35">
        <v>70</v>
      </c>
      <c r="D35" s="58">
        <v>0.753</v>
      </c>
      <c r="E35" s="26">
        <v>0</v>
      </c>
      <c r="F35" s="26">
        <v>0</v>
      </c>
      <c r="G35" s="27">
        <v>2974.3589999999999</v>
      </c>
      <c r="H35" s="5" t="s">
        <v>39</v>
      </c>
      <c r="I35" s="28">
        <v>7</v>
      </c>
      <c r="J35" s="29">
        <f t="shared" si="0"/>
        <v>0.25316379092100183</v>
      </c>
      <c r="K35" s="29">
        <f t="shared" si="1"/>
        <v>0</v>
      </c>
      <c r="L35" s="30">
        <f t="shared" si="2"/>
        <v>0</v>
      </c>
    </row>
    <row r="36" spans="1:12" ht="13.2" x14ac:dyDescent="0.25">
      <c r="A36" s="31" t="s">
        <v>27</v>
      </c>
      <c r="B36" s="9" t="s">
        <v>10</v>
      </c>
      <c r="C36">
        <v>5</v>
      </c>
      <c r="D36" s="55">
        <v>0.92100000000000004</v>
      </c>
      <c r="E36" s="11">
        <v>0</v>
      </c>
      <c r="F36" s="11">
        <v>0</v>
      </c>
      <c r="G36" s="12">
        <v>222.548</v>
      </c>
      <c r="H36" s="44" t="s">
        <v>40</v>
      </c>
      <c r="I36" s="45">
        <v>8</v>
      </c>
      <c r="J36" s="15">
        <f t="shared" si="0"/>
        <v>4.1384330571382355</v>
      </c>
      <c r="K36" s="15">
        <f t="shared" si="1"/>
        <v>0</v>
      </c>
      <c r="L36" s="16">
        <f t="shared" si="2"/>
        <v>0</v>
      </c>
    </row>
    <row r="37" spans="1:12" ht="13.2" x14ac:dyDescent="0.25">
      <c r="A37" s="35" t="s">
        <v>27</v>
      </c>
      <c r="B37" s="35" t="s">
        <v>15</v>
      </c>
      <c r="C37">
        <v>30</v>
      </c>
      <c r="D37" s="47">
        <v>12.303000000000001</v>
      </c>
      <c r="E37" s="19">
        <v>7.84</v>
      </c>
      <c r="F37" s="19">
        <v>7.1790000000000003</v>
      </c>
      <c r="G37" s="20">
        <v>7649.1530000000002</v>
      </c>
      <c r="H37" s="44" t="s">
        <v>40</v>
      </c>
      <c r="I37" s="48">
        <v>8</v>
      </c>
      <c r="J37" s="22">
        <f t="shared" si="0"/>
        <v>1.6084133759646331</v>
      </c>
      <c r="K37" s="22">
        <f t="shared" si="1"/>
        <v>1.0249500827085039</v>
      </c>
      <c r="L37" s="23">
        <f t="shared" si="2"/>
        <v>0.93853528619443227</v>
      </c>
    </row>
    <row r="38" spans="1:12" ht="13.8" thickBot="1" x14ac:dyDescent="0.3">
      <c r="A38" s="64" t="s">
        <v>27</v>
      </c>
      <c r="B38" s="64" t="s">
        <v>17</v>
      </c>
      <c r="C38">
        <v>70</v>
      </c>
      <c r="D38" s="58">
        <v>1.1319999999999999</v>
      </c>
      <c r="E38" s="26">
        <v>0</v>
      </c>
      <c r="F38" s="26">
        <v>0</v>
      </c>
      <c r="G38" s="27">
        <v>3947.17</v>
      </c>
      <c r="H38" s="44" t="s">
        <v>40</v>
      </c>
      <c r="I38" s="53">
        <v>8</v>
      </c>
      <c r="J38" s="29">
        <f t="shared" si="0"/>
        <v>0.28678774919752625</v>
      </c>
      <c r="K38" s="29">
        <f t="shared" si="1"/>
        <v>0</v>
      </c>
      <c r="L38" s="30">
        <f t="shared" si="2"/>
        <v>0</v>
      </c>
    </row>
    <row r="39" spans="1:12" ht="13.2" x14ac:dyDescent="0.25">
      <c r="A39" s="31" t="s">
        <v>28</v>
      </c>
      <c r="B39" s="9" t="s">
        <v>10</v>
      </c>
      <c r="C39">
        <v>5</v>
      </c>
      <c r="D39" s="55">
        <v>0.58899999999999997</v>
      </c>
      <c r="E39" s="11">
        <v>0.20399999999999999</v>
      </c>
      <c r="F39" s="11">
        <v>0</v>
      </c>
      <c r="G39" s="12">
        <v>190.756</v>
      </c>
      <c r="H39" s="44" t="s">
        <v>40</v>
      </c>
      <c r="I39" s="45">
        <v>8</v>
      </c>
      <c r="J39" s="15">
        <f t="shared" si="0"/>
        <v>3.0877141479167101</v>
      </c>
      <c r="K39" s="33">
        <f t="shared" si="1"/>
        <v>1.0694290087860931</v>
      </c>
      <c r="L39" s="34">
        <f t="shared" si="2"/>
        <v>0</v>
      </c>
    </row>
    <row r="40" spans="1:12" ht="13.2" x14ac:dyDescent="0.25">
      <c r="A40" s="35" t="s">
        <v>28</v>
      </c>
      <c r="B40" s="35" t="s">
        <v>15</v>
      </c>
      <c r="C40">
        <v>30</v>
      </c>
      <c r="D40" s="47">
        <v>11.833</v>
      </c>
      <c r="E40" s="19">
        <v>1.4330000000000001</v>
      </c>
      <c r="F40" s="19">
        <v>0</v>
      </c>
      <c r="G40" s="20">
        <v>3480.7930000000001</v>
      </c>
      <c r="H40" s="44" t="s">
        <v>40</v>
      </c>
      <c r="I40" s="48">
        <v>8</v>
      </c>
      <c r="J40" s="22">
        <f t="shared" si="0"/>
        <v>3.3995126972503105</v>
      </c>
      <c r="K40" s="22">
        <f t="shared" si="1"/>
        <v>0.41168779643029624</v>
      </c>
      <c r="L40" s="23">
        <f t="shared" si="2"/>
        <v>0</v>
      </c>
    </row>
    <row r="41" spans="1:12" ht="13.8" thickBot="1" x14ac:dyDescent="0.3">
      <c r="A41" s="64" t="s">
        <v>28</v>
      </c>
      <c r="B41" s="64" t="s">
        <v>11</v>
      </c>
      <c r="C41">
        <v>70</v>
      </c>
      <c r="D41" s="58">
        <v>0.13</v>
      </c>
      <c r="E41" s="26">
        <v>0</v>
      </c>
      <c r="F41" s="26">
        <v>0</v>
      </c>
      <c r="G41" s="27">
        <v>2230.0920000000001</v>
      </c>
      <c r="H41" s="44" t="s">
        <v>40</v>
      </c>
      <c r="I41" s="53">
        <v>8</v>
      </c>
      <c r="J41" s="29">
        <f t="shared" si="0"/>
        <v>5.8293559189486352E-2</v>
      </c>
      <c r="K41" s="29">
        <f t="shared" si="1"/>
        <v>0</v>
      </c>
      <c r="L41" s="30">
        <f t="shared" si="2"/>
        <v>0</v>
      </c>
    </row>
  </sheetData>
  <phoneticPr fontId="1" type="noConversion"/>
  <printOptions gridLines="1"/>
  <pageMargins left="0.75000000000000011" right="0.75000000000000011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Tabelle1</vt:lpstr>
      <vt:lpstr>Tabelle1!Print_Area</vt:lpstr>
    </vt:vector>
  </TitlesOfParts>
  <Company>WSL Birmensdorf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Höwecke</dc:creator>
  <cp:lastModifiedBy>Katrin Di Bella Meusburger</cp:lastModifiedBy>
  <dcterms:created xsi:type="dcterms:W3CDTF">2020-09-15T15:15:37Z</dcterms:created>
  <dcterms:modified xsi:type="dcterms:W3CDTF">2020-09-16T10:35:12Z</dcterms:modified>
</cp:coreProperties>
</file>